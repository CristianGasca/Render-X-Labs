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tecnm9-my.sharepoint.com/personal/le22080733_merida_tecnm_mx/Documents/"/>
    </mc:Choice>
  </mc:AlternateContent>
  <xr:revisionPtr revIDLastSave="0" documentId="8_{C587FE82-48DD-4BEC-A4D3-C0D95E557A7D}" xr6:coauthVersionLast="47" xr6:coauthVersionMax="47" xr10:uidLastSave="{00000000-0000-0000-0000-000000000000}"/>
  <bookViews>
    <workbookView xWindow="-120" yWindow="-120" windowWidth="29040" windowHeight="16440" firstSheet="4" activeTab="1" xr2:uid="{42F2CF45-E58A-4C5C-915A-E1FC49126632}"/>
  </bookViews>
  <sheets>
    <sheet name="Product Backlog" sheetId="6" r:id="rId1"/>
    <sheet name="Graficas del Producto" sheetId="7" r:id="rId2"/>
    <sheet name="Sprint_1" sheetId="1" r:id="rId3"/>
    <sheet name="Graficas_Sprint_1" sheetId="3" r:id="rId4"/>
    <sheet name="Graficas_Sprint_2" sheetId="4" r:id="rId5"/>
    <sheet name="Sprint_2" sheetId="5" r:id="rId6"/>
    <sheet name="Información" sheetId="2" r:id="rId7"/>
  </sheets>
  <definedNames>
    <definedName name="Dias" localSheetId="4">Graficas_Sprint_2!$C$4:$C$8</definedName>
    <definedName name="Dias">Graficas_Sprint_1!$C$4:$C$8</definedName>
    <definedName name="Días" localSheetId="4">Graficas_Sprint_2!$C$2:$C$8</definedName>
    <definedName name="Días">Graficas_Sprint_1!$C$2:$C$8</definedName>
    <definedName name="Puntos">Información!$B$2:$B$9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  <c r="D4" i="4"/>
  <c r="G24" i="4"/>
  <c r="D25" i="4"/>
  <c r="F24" i="4"/>
  <c r="E4" i="7"/>
  <c r="E5" i="7"/>
  <c r="E6" i="7"/>
  <c r="E7" i="7"/>
  <c r="E3" i="7"/>
  <c r="G4" i="3"/>
  <c r="D2" i="7"/>
  <c r="D22" i="7"/>
  <c r="D21" i="7"/>
  <c r="C22" i="7"/>
  <c r="C21" i="7"/>
  <c r="E21" i="7"/>
  <c r="E22" i="7" s="1"/>
  <c r="E23" i="7" s="1"/>
  <c r="E24" i="7" s="1"/>
  <c r="E25" i="7" s="1"/>
  <c r="D20" i="7"/>
  <c r="B21" i="7" s="1"/>
  <c r="G25" i="4"/>
  <c r="G26" i="4" s="1"/>
  <c r="G27" i="4" s="1"/>
  <c r="G28" i="4" s="1"/>
  <c r="D24" i="4"/>
  <c r="G4" i="4"/>
  <c r="G5" i="4"/>
  <c r="G6" i="4" s="1"/>
  <c r="G7" i="4" s="1"/>
  <c r="G8" i="4" s="1"/>
  <c r="F23" i="4"/>
  <c r="D26" i="3"/>
  <c r="D25" i="3"/>
  <c r="G5" i="3"/>
  <c r="G6" i="3"/>
  <c r="G7" i="3"/>
  <c r="G8" i="3"/>
  <c r="G26" i="3"/>
  <c r="G27" i="3"/>
  <c r="G28" i="3" s="1"/>
  <c r="G29" i="3" s="1"/>
  <c r="G25" i="3"/>
  <c r="D4" i="3"/>
  <c r="F4" i="3" s="1"/>
  <c r="D3" i="4"/>
  <c r="G3" i="4" s="1"/>
  <c r="C3" i="7"/>
  <c r="F24" i="3"/>
  <c r="D3" i="3"/>
  <c r="H10" i="1"/>
  <c r="B2" i="7"/>
  <c r="D8" i="7"/>
  <c r="H32" i="6"/>
  <c r="H12" i="5"/>
  <c r="F4" i="4"/>
  <c r="F5" i="4" s="1"/>
  <c r="D6" i="4" s="1"/>
  <c r="F6" i="4" s="1"/>
  <c r="E20" i="7" l="1"/>
  <c r="C4" i="7"/>
  <c r="D5" i="3"/>
  <c r="F3" i="3"/>
  <c r="G3" i="3"/>
  <c r="B3" i="7"/>
  <c r="D3" i="7" s="1"/>
  <c r="B4" i="7" s="1"/>
  <c r="D4" i="7" s="1"/>
  <c r="B5" i="7" s="1"/>
  <c r="B6" i="7" s="1"/>
  <c r="B7" i="7" s="1"/>
  <c r="D7" i="7" s="1"/>
  <c r="E2" i="7"/>
  <c r="F3" i="4"/>
  <c r="D7" i="4" l="1"/>
  <c r="F7" i="4" s="1"/>
  <c r="F5" i="3"/>
  <c r="D6" i="3"/>
  <c r="D8" i="4" l="1"/>
  <c r="F8" i="4" s="1"/>
  <c r="F6" i="3"/>
  <c r="D7" i="3" s="1"/>
  <c r="F7" i="3" l="1"/>
  <c r="D8" i="3" s="1"/>
  <c r="F8" i="3" s="1"/>
  <c r="F25" i="3" l="1"/>
  <c r="F26" i="3"/>
  <c r="D27" i="3" l="1"/>
  <c r="F27" i="3" s="1"/>
  <c r="D28" i="3" l="1"/>
  <c r="F28" i="3" s="1"/>
  <c r="D29" i="3" s="1"/>
  <c r="F29" i="3" s="1"/>
  <c r="F25" i="4"/>
  <c r="D26" i="4" s="1"/>
  <c r="F26" i="4" l="1"/>
  <c r="D27" i="4" s="1"/>
  <c r="F27" i="4"/>
  <c r="D28" i="4" l="1"/>
  <c r="F28" i="4" s="1"/>
  <c r="B22" i="7"/>
  <c r="B24" i="7"/>
  <c r="D24" i="7" s="1"/>
  <c r="B25" i="7"/>
  <c r="D25" i="7" s="1"/>
</calcChain>
</file>

<file path=xl/sharedStrings.xml><?xml version="1.0" encoding="utf-8"?>
<sst xmlns="http://schemas.openxmlformats.org/spreadsheetml/2006/main" count="320" uniqueCount="148">
  <si>
    <t>ID</t>
  </si>
  <si>
    <t>Yo como</t>
  </si>
  <si>
    <t xml:space="preserve">Necesito </t>
  </si>
  <si>
    <t>Para</t>
  </si>
  <si>
    <t xml:space="preserve">Observacviones </t>
  </si>
  <si>
    <t>Puntos</t>
  </si>
  <si>
    <t>SGC_0001</t>
  </si>
  <si>
    <t xml:space="preserve">usuario </t>
  </si>
  <si>
    <t>Detectar automáticamente nuevas selecciones de texto</t>
  </si>
  <si>
    <t>Traducir texto de forma automática sin copiarlo manualmente.</t>
  </si>
  <si>
    <t>Detectar únicamente texto seleccionado válido.</t>
  </si>
  <si>
    <t>SGC_0002</t>
  </si>
  <si>
    <t>Conservar la traducción visible hasta seleccionar otro texto</t>
  </si>
  <si>
    <t>Comparar varias traducciones sin perder la información anterior.</t>
  </si>
  <si>
    <t>Mantener la traducción hasta una nueva selección válida.</t>
  </si>
  <si>
    <t>SGC_0003</t>
  </si>
  <si>
    <t>Utilizar el traductor en cualquier aplicación compatible de Windows</t>
  </si>
  <si>
    <t>Utilizar el traductor desde cualquier programa compatible.</t>
  </si>
  <si>
    <t>Compatible con aplicaciones Windows que permitan seleccionar texto.</t>
  </si>
  <si>
    <t>SGC_0004</t>
  </si>
  <si>
    <t>Recibir una notificación cuando la traducción haya finalizado</t>
  </si>
  <si>
    <t>Saber cuándo la traducción está disponible.</t>
  </si>
  <si>
    <t>Mostrar una notificación no intrusiva.</t>
  </si>
  <si>
    <t>SGC_0005</t>
  </si>
  <si>
    <t>Ignorar selecciones que no contengan texto válido</t>
  </si>
  <si>
    <t>Evitar traducciones incorrectas o innecesarias.</t>
  </si>
  <si>
    <t>Ignorar texto vacío, imágenes o caracteres inválidos.</t>
  </si>
  <si>
    <t>SGC_0006</t>
  </si>
  <si>
    <t>Actualizar automáticamente la traducción al seleccionar otro texto</t>
  </si>
  <si>
    <t>Obtener siempre la traducción más reciente.</t>
  </si>
  <si>
    <t>Actualizar automáticamente la traducción.</t>
  </si>
  <si>
    <t>SGC_0007</t>
  </si>
  <si>
    <t>Permanecer disponible en segundo plano</t>
  </si>
  <si>
    <t>Continuar trabajando mientras el traductor permanece activo.</t>
  </si>
  <si>
    <t>Ejecutarse en segundo plano con bajo consumo de recursos.</t>
  </si>
  <si>
    <t>SGC_0008</t>
  </si>
  <si>
    <t>Mostrar una ventana flotante con la traducción</t>
  </si>
  <si>
    <t>Consultar la traducción sin cambiar de aplicación.</t>
  </si>
  <si>
    <t>Ventana flotante movible y siempre visible.</t>
  </si>
  <si>
    <t>SGC_0009</t>
  </si>
  <si>
    <t>Copiar la traducción</t>
  </si>
  <si>
    <t>Reutilizar fácilmente la traducción obtenida.</t>
  </si>
  <si>
    <t>Copiar al portapapeles con un clic.</t>
  </si>
  <si>
    <t>SGC_0010</t>
  </si>
  <si>
    <t>Conservar el orden del texto original</t>
  </si>
  <si>
    <t>Facilitar la comparación con el texto original.</t>
  </si>
  <si>
    <t>Conservar el orden y los saltos de línea cuando sea posible.</t>
  </si>
  <si>
    <t>SGC_0011</t>
  </si>
  <si>
    <t>Traductor enfocado en inglés-español</t>
  </si>
  <si>
    <t>Obtener traducciones precisas entre inglés y español.</t>
  </si>
  <si>
    <t>El sistema se enfocará únicamente en esos idiomas.</t>
  </si>
  <si>
    <t>SGC_0012</t>
  </si>
  <si>
    <t>Visualizar el texto original junto con la traducción</t>
  </si>
  <si>
    <t>Comparar el texto original y traducido simultáneamente.</t>
  </si>
  <si>
    <t>Mostrar ambos textos en la misma ventana.</t>
  </si>
  <si>
    <t>SGC_0013</t>
  </si>
  <si>
    <t>Activar o desactivar reconocimiento de voz</t>
  </si>
  <si>
    <t>Elegir cuándo utilizar comandos de voz.</t>
  </si>
  <si>
    <t>Opción disponible desde configuración.</t>
  </si>
  <si>
    <t>SGC_0014</t>
  </si>
  <si>
    <t>Preguntar cómo se dice una palabra o frase mediante voz</t>
  </si>
  <si>
    <t>Traducir palabras o frases sin escribirlas.</t>
  </si>
  <si>
    <t>Requiere micrófono habilitado.</t>
  </si>
  <si>
    <t>SGC_0015</t>
  </si>
  <si>
    <t>Traducir utilizando comandos de voz</t>
  </si>
  <si>
    <t>Traducir mediante comandos hablados.</t>
  </si>
  <si>
    <t>Utilizar reconocimiento de voz del sistema operativo.</t>
  </si>
  <si>
    <t>SGC_0016</t>
  </si>
  <si>
    <t>Traducir mensajes o avisos del sistema</t>
  </si>
  <si>
    <t>Comprender mensajes y notificaciones del sistema.</t>
  </si>
  <si>
    <t>Traducir únicamente texto reconocido.</t>
  </si>
  <si>
    <t>SGC_0017</t>
  </si>
  <si>
    <t>Confirmación cuando un comando de voz sea reconocido</t>
  </si>
  <si>
    <t>Confirmar que el comando fue entendido correctamente.</t>
  </si>
  <si>
    <t>Mostrar confirmación visual o sonora.</t>
  </si>
  <si>
    <t>SGC_0018</t>
  </si>
  <si>
    <t>Cancelar una traducción mediante voz</t>
  </si>
  <si>
    <t>Detener una traducción iniciada por voz.</t>
  </si>
  <si>
    <t>Cancelar inmediatamente el proceso en ejecución.</t>
  </si>
  <si>
    <t>SGC_0019</t>
  </si>
  <si>
    <t>Informar cuando el texto no esté en inglés</t>
  </si>
  <si>
    <t>Saber cuándo un texto no pertenece al idioma soportado.</t>
  </si>
  <si>
    <t>Mostrar mensaje indicando idioma no compatible.</t>
  </si>
  <si>
    <t>SGC_0020</t>
  </si>
  <si>
    <t>Cambiar el tamaño de la ventana flotante</t>
  </si>
  <si>
    <t>Adaptar la ventana a sus preferencias.</t>
  </si>
  <si>
    <t>Permitir redimensionar sin afectar el contenido.</t>
  </si>
  <si>
    <t>SGC_0021</t>
  </si>
  <si>
    <t>Mover la ventana flotante</t>
  </si>
  <si>
    <t>Colocar la ventana donde resulte más cómoda.</t>
  </si>
  <si>
    <t>Recordar la última posición utilizada (opcional).</t>
  </si>
  <si>
    <t>SGC_0022</t>
  </si>
  <si>
    <t>Cerrar la ventana mediante voz</t>
  </si>
  <si>
    <t>Cerrar la ventana utilizando la voz.</t>
  </si>
  <si>
    <t>Reconocer el comando previamente definido.</t>
  </si>
  <si>
    <t>SGC_0023</t>
  </si>
  <si>
    <t>Obtener la traducción en el menor tiempo posible</t>
  </si>
  <si>
    <t>Obtener resultados rápidamente.</t>
  </si>
  <si>
    <t>El tiempo de respuesta debe ser mínimo.</t>
  </si>
  <si>
    <t>SGC_0024</t>
  </si>
  <si>
    <t>Consumir pocos recursos</t>
  </si>
  <si>
    <t>Evitar afectar el rendimiento del equipo.</t>
  </si>
  <si>
    <t>Optimizar el uso de CPU y memoria.</t>
  </si>
  <si>
    <t>SGC_0025</t>
  </si>
  <si>
    <t>Ocultar temporalmente la ventana flotante</t>
  </si>
  <si>
    <t>Ocultar la ventana cuando no sea necesaria.</t>
  </si>
  <si>
    <t>Permitir volver a mostrarla fácilmente.</t>
  </si>
  <si>
    <t>SGC_0026</t>
  </si>
  <si>
    <t>Avisar cuando no exista conexión a Internet</t>
  </si>
  <si>
    <t>Conocer cuando la traducción no pueda realizarse.</t>
  </si>
  <si>
    <t>Avisar si no existe conexión a Internet.</t>
  </si>
  <si>
    <t>SGC_0027</t>
  </si>
  <si>
    <t>Mantener buen rendimiento durante múltiples traducciones</t>
  </si>
  <si>
    <t>Traducir continuamente sin pérdida de rendimiento.</t>
  </si>
  <si>
    <t>Mantener tiempos de respuesta estables.</t>
  </si>
  <si>
    <t>SGC_0028</t>
  </si>
  <si>
    <t>Informar cuando ocurra un error durante la traducción</t>
  </si>
  <si>
    <t>Saber cuando ocurre un problema durante la traducción.</t>
  </si>
  <si>
    <t>Mostrar un mensaje claro con la causa del error.</t>
  </si>
  <si>
    <t>SGC_0029</t>
  </si>
  <si>
    <t>Funcionar correctamente con diferentes tamaños de texto</t>
  </si>
  <si>
    <t>Traducir correctamente cualquier tamaño de texto permitido.</t>
  </si>
  <si>
    <t>Adaptar la interfaz al contenido mostrado.</t>
  </si>
  <si>
    <t>Total</t>
  </si>
  <si>
    <t>Día</t>
  </si>
  <si>
    <t>PI</t>
  </si>
  <si>
    <t>PH</t>
  </si>
  <si>
    <t>PR</t>
  </si>
  <si>
    <t xml:space="preserve">Base </t>
  </si>
  <si>
    <t>Inicio</t>
  </si>
  <si>
    <t>Sprint 1</t>
  </si>
  <si>
    <t>Sprint 2</t>
  </si>
  <si>
    <t>Sprint 3</t>
  </si>
  <si>
    <t>Sprint 4</t>
  </si>
  <si>
    <t>Sprint 5</t>
  </si>
  <si>
    <t>Fin</t>
  </si>
  <si>
    <t>Dias</t>
  </si>
  <si>
    <t>Sprint</t>
  </si>
  <si>
    <t>SGC_00011</t>
  </si>
  <si>
    <t>SGC_00029</t>
  </si>
  <si>
    <t>PR2</t>
  </si>
  <si>
    <t>Lunes</t>
  </si>
  <si>
    <t>Martes</t>
  </si>
  <si>
    <t>Miercoles</t>
  </si>
  <si>
    <t xml:space="preserve">Jueves </t>
  </si>
  <si>
    <t>Viernes</t>
  </si>
  <si>
    <t>Base</t>
  </si>
  <si>
    <t>puntitos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</si>
</sst>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 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'Graficas del Producto'!$A$20:$A$25</c:f>
              <c:strCache>
                <c:ptCount val="6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</c:strCache>
            </c:strRef>
          </c:xVal>
          <c:yVal>
            <c:numRef>
              <c:f>'Graficas del Producto'!$D$20:$D$25</c:f>
              <c:numCache>
                <c:formatCode>General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2-4390-98BA-0D113E146153}"/>
            </c:ext>
          </c:extLst>
        </c:ser>
        <c:ser>
          <c:idx val="1"/>
          <c:order val="1"/>
          <c:tx>
            <c:v>Linea Base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'Graficas del Producto'!$A$20:$A$25</c:f>
              <c:strCache>
                <c:ptCount val="6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</c:strCache>
            </c:strRef>
          </c:xVal>
          <c:yVal>
            <c:numRef>
              <c:f>'Graficas del Producto'!$E$20:$E$25</c:f>
              <c:numCache>
                <c:formatCode>General</c:formatCode>
                <c:ptCount val="6"/>
                <c:pt idx="0">
                  <c:v>0</c:v>
                </c:pt>
                <c:pt idx="1">
                  <c:v>32.200000000000003</c:v>
                </c:pt>
                <c:pt idx="2">
                  <c:v>64.400000000000006</c:v>
                </c:pt>
                <c:pt idx="3">
                  <c:v>96.600000000000009</c:v>
                </c:pt>
                <c:pt idx="4">
                  <c:v>128.80000000000001</c:v>
                </c:pt>
                <c:pt idx="5">
                  <c:v>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82-4390-98BA-0D113E146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770952"/>
        <c:axId val="1290777096"/>
      </c:scatterChart>
      <c:valAx>
        <c:axId val="129077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77096"/>
        <c:crosses val="autoZero"/>
        <c:crossBetween val="midCat"/>
      </c:valAx>
      <c:valAx>
        <c:axId val="129077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70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Linea 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'Graficas del Producto'!$A$2:$A$8</c:f>
              <c:strCache>
                <c:ptCount val="7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Fin</c:v>
                </c:pt>
              </c:strCache>
            </c:strRef>
          </c:xVal>
          <c:yVal>
            <c:numRef>
              <c:f>'Graficas del Producto'!$D$2:$D$8</c:f>
              <c:numCache>
                <c:formatCode>General</c:formatCode>
                <c:ptCount val="7"/>
                <c:pt idx="0">
                  <c:v>161</c:v>
                </c:pt>
                <c:pt idx="1">
                  <c:v>126</c:v>
                </c:pt>
                <c:pt idx="2">
                  <c:v>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2E-4F7D-9F72-66AFA6504FFA}"/>
            </c:ext>
          </c:extLst>
        </c:ser>
        <c:ser>
          <c:idx val="1"/>
          <c:order val="1"/>
          <c:tx>
            <c:v>Linea Base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'Graficas del Producto'!$A$2:$A$8</c:f>
              <c:strCache>
                <c:ptCount val="7"/>
                <c:pt idx="0">
                  <c:v>Inicio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Fin</c:v>
                </c:pt>
              </c:strCache>
            </c:strRef>
          </c:xVal>
          <c:yVal>
            <c:numRef>
              <c:f>'Graficas del Producto'!$E$2:$E$8</c:f>
              <c:numCache>
                <c:formatCode>General</c:formatCode>
                <c:ptCount val="7"/>
                <c:pt idx="0">
                  <c:v>161</c:v>
                </c:pt>
                <c:pt idx="1">
                  <c:v>128.80000000000001</c:v>
                </c:pt>
                <c:pt idx="2">
                  <c:v>96.600000000000009</c:v>
                </c:pt>
                <c:pt idx="3">
                  <c:v>64.400000000000006</c:v>
                </c:pt>
                <c:pt idx="4">
                  <c:v>32.200000000000003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2E-4F7D-9F72-66AFA6504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332744"/>
        <c:axId val="1233359368"/>
      </c:scatterChart>
      <c:valAx>
        <c:axId val="1233332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59368"/>
        <c:crosses val="autoZero"/>
        <c:crossBetween val="midCat"/>
      </c:valAx>
      <c:valAx>
        <c:axId val="123335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32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Graficas_Sprint_1!$F$3:$F$9</c:f>
              <c:numCache>
                <c:formatCode>General</c:formatCode>
                <c:ptCount val="7"/>
                <c:pt idx="0">
                  <c:v>35</c:v>
                </c:pt>
                <c:pt idx="1">
                  <c:v>28</c:v>
                </c:pt>
                <c:pt idx="2">
                  <c:v>23</c:v>
                </c:pt>
                <c:pt idx="3">
                  <c:v>18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1-4B16-AF94-3A31EFAAD686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Graficas_Sprint_1!$G$3:$G$9</c:f>
              <c:numCache>
                <c:formatCode>General</c:formatCode>
                <c:ptCount val="7"/>
                <c:pt idx="0">
                  <c:v>35</c:v>
                </c:pt>
                <c:pt idx="1">
                  <c:v>28</c:v>
                </c:pt>
                <c:pt idx="2">
                  <c:v>21</c:v>
                </c:pt>
                <c:pt idx="3">
                  <c:v>14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1-4B16-AF94-3A31EFAAD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Graficas_Sprint_1!$F$24:$F$29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  <c:pt idx="4">
                  <c:v>27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B-49BA-8202-3EEB9472BC03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Graficas_Sprint_1!$C$3:$C$9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Graficas_Sprint_1!$G$24:$G$29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B-49BA-8202-3EEB9472B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Graficas_Sprint_2!$C$3:$C$9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Graficas_Sprint_2!$F$3:$F$9</c:f>
              <c:numCache>
                <c:formatCode>General</c:formatCode>
                <c:ptCount val="7"/>
                <c:pt idx="0">
                  <c:v>37</c:v>
                </c:pt>
                <c:pt idx="1">
                  <c:v>33</c:v>
                </c:pt>
                <c:pt idx="2">
                  <c:v>23</c:v>
                </c:pt>
                <c:pt idx="3">
                  <c:v>17</c:v>
                </c:pt>
                <c:pt idx="4">
                  <c:v>10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5-487A-BB40-FD2FA14D728A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Graficas_Sprint_2!$C$3:$C$9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Graficas_Sprint_2!$G$3:$G$9</c:f>
              <c:numCache>
                <c:formatCode>General</c:formatCode>
                <c:ptCount val="7"/>
                <c:pt idx="0">
                  <c:v>37</c:v>
                </c:pt>
                <c:pt idx="1">
                  <c:v>29.6</c:v>
                </c:pt>
                <c:pt idx="2">
                  <c:v>22.200000000000003</c:v>
                </c:pt>
                <c:pt idx="3">
                  <c:v>14.800000000000002</c:v>
                </c:pt>
                <c:pt idx="4">
                  <c:v>7.4000000000000021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5-487A-BB40-FD2FA14D7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BurnUp Sprint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Linea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Graficas_Sprint_2!$C$23:$C$28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Graficas_Sprint_2!$F$23:$F$29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14</c:v>
                </c:pt>
                <c:pt idx="3">
                  <c:v>20</c:v>
                </c:pt>
                <c:pt idx="4">
                  <c:v>27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C-4F93-9492-D03AEABD0E3D}"/>
            </c:ext>
          </c:extLst>
        </c:ser>
        <c:ser>
          <c:idx val="1"/>
          <c:order val="1"/>
          <c:tx>
            <c:v>Linea Base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Graficas_Sprint_2!$C$23:$C$28</c:f>
              <c:strCache>
                <c:ptCount val="6"/>
                <c:pt idx="0">
                  <c:v>Inicio</c:v>
                </c:pt>
                <c:pt idx="1">
                  <c:v>Lunes</c:v>
                </c:pt>
                <c:pt idx="2">
                  <c:v>Martes</c:v>
                </c:pt>
                <c:pt idx="3">
                  <c:v>Miercoles</c:v>
                </c:pt>
                <c:pt idx="4">
                  <c:v>Jueves </c:v>
                </c:pt>
                <c:pt idx="5">
                  <c:v>Viernes</c:v>
                </c:pt>
              </c:strCache>
            </c:strRef>
          </c:cat>
          <c:val>
            <c:numRef>
              <c:f>Graficas_Sprint_2!$G$23:$G$29</c:f>
              <c:numCache>
                <c:formatCode>General</c:formatCode>
                <c:ptCount val="7"/>
                <c:pt idx="0">
                  <c:v>0</c:v>
                </c:pt>
                <c:pt idx="1">
                  <c:v>7.4</c:v>
                </c:pt>
                <c:pt idx="2">
                  <c:v>14.8</c:v>
                </c:pt>
                <c:pt idx="3">
                  <c:v>22.200000000000003</c:v>
                </c:pt>
                <c:pt idx="4">
                  <c:v>29.6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7C-4F93-9492-D03AEABD0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45327"/>
        <c:axId val="16229167"/>
      </c:lineChart>
      <c:catAx>
        <c:axId val="4938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29167"/>
        <c:crosses val="autoZero"/>
        <c:auto val="1"/>
        <c:lblAlgn val="ctr"/>
        <c:lblOffset val="100"/>
        <c:noMultiLvlLbl val="0"/>
      </c:catAx>
      <c:valAx>
        <c:axId val="162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38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19</xdr:row>
      <xdr:rowOff>19050</xdr:rowOff>
    </xdr:from>
    <xdr:to>
      <xdr:col>11</xdr:col>
      <xdr:colOff>676275</xdr:colOff>
      <xdr:row>33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B6415D-3BE8-FE4B-B855-833FD70541B8}"/>
            </a:ext>
            <a:ext uri="{147F2762-F138-4A5C-976F-8EAC2B608ADB}">
              <a16:predDERef xmlns:a16="http://schemas.microsoft.com/office/drawing/2014/main" pred="{B2CF6970-220A-48C9-5C92-7FD46C990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0</xdr:row>
      <xdr:rowOff>9525</xdr:rowOff>
    </xdr:from>
    <xdr:to>
      <xdr:col>11</xdr:col>
      <xdr:colOff>476250</xdr:colOff>
      <xdr:row>14</xdr:row>
      <xdr:rowOff>85725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D2D7B01-FEA9-C645-020F-B7F5EC71FDC2}"/>
            </a:ext>
            <a:ext uri="{147F2762-F138-4A5C-976F-8EAC2B608ADB}">
              <a16:predDERef xmlns:a16="http://schemas.microsoft.com/office/drawing/2014/main" pred="{62B6415D-3BE8-FE4B-B855-833FD7054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755729</xdr:colOff>
      <xdr:row>0</xdr:row>
      <xdr:rowOff>174232</xdr:rowOff>
    </xdr:from>
    <xdr:to>
      <xdr:col>13</xdr:col>
      <xdr:colOff>755729</xdr:colOff>
      <xdr:row>15</xdr:row>
      <xdr:rowOff>152059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04C18E6-7499-B859-7370-04C1BBE8E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56505</xdr:colOff>
      <xdr:row>16</xdr:row>
      <xdr:rowOff>177584</xdr:rowOff>
    </xdr:from>
    <xdr:to>
      <xdr:col>14</xdr:col>
      <xdr:colOff>56504</xdr:colOff>
      <xdr:row>31</xdr:row>
      <xdr:rowOff>155411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A602957-608B-48B3-83C7-C2FEC5D058B9}"/>
            </a:ext>
            <a:ext uri="{147F2762-F138-4A5C-976F-8EAC2B608ADB}">
              <a16:predDERef xmlns:a16="http://schemas.microsoft.com/office/drawing/2014/main" pred="{C04C18E6-7499-B859-7370-04C1BBE8E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0</xdr:row>
      <xdr:rowOff>168275</xdr:rowOff>
    </xdr:from>
    <xdr:to>
      <xdr:col>13</xdr:col>
      <xdr:colOff>158750</xdr:colOff>
      <xdr:row>15</xdr:row>
      <xdr:rowOff>142875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197F868E-1234-41C1-8FDF-5AE4BB5B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113975</xdr:colOff>
      <xdr:row>17</xdr:row>
      <xdr:rowOff>170962</xdr:rowOff>
    </xdr:from>
    <xdr:to>
      <xdr:col>14</xdr:col>
      <xdr:colOff>113974</xdr:colOff>
      <xdr:row>32</xdr:row>
      <xdr:rowOff>145561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1A725923-0341-41F6-9166-34386296F9A6}"/>
            </a:ext>
            <a:ext uri="{147F2762-F138-4A5C-976F-8EAC2B608ADB}">
              <a16:predDERef xmlns:a16="http://schemas.microsoft.com/office/drawing/2014/main" pred="{197F868E-1234-41C1-8FDF-5AE4BB5B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F93F8-F85A-41A3-A70D-CE3A62C4314A}" name="Sprint_14" displayName="Sprint_14" ref="C2:H32" totalsRowCount="1">
  <autoFilter ref="C2:H31" xr:uid="{8BCEC944-6B20-4F00-850B-6AFDF015CBB2}"/>
  <tableColumns count="6">
    <tableColumn id="1" xr3:uid="{D332A547-2E6F-447F-80C6-A8E5B00AC925}" name="ID" totalsRowLabel="Total"/>
    <tableColumn id="2" xr3:uid="{F4E428B3-CDA1-4CFF-8C61-0D2F95E96592}" name="Yo como"/>
    <tableColumn id="3" xr3:uid="{05921C82-6D58-4E44-82CD-BF0C4117D06B}" name="Necesito "/>
    <tableColumn id="4" xr3:uid="{D85384EF-4EAD-4CC1-9CC0-0709B2CA3351}" name="Para"/>
    <tableColumn id="5" xr3:uid="{648D0EE6-0518-446F-9874-A292568DF2E2}" name="Observacviones "/>
    <tableColumn id="6" xr3:uid="{08A3BC09-13F2-489A-9FDA-1ECBA564BDA8}" name="Puntos" totalsRowFunction="sum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BB8489-312C-4074-8F76-41671218FD89}" name="Tabla8" displayName="Tabla8" ref="A1:E8" totalsRowShown="0">
  <autoFilter ref="A1:E8" xr:uid="{56BB8489-312C-4074-8F76-41671218FD89}"/>
  <tableColumns count="5">
    <tableColumn id="1" xr3:uid="{78ED1D77-487F-4931-8EE7-67E05DCFD20A}" name="Día"/>
    <tableColumn id="2" xr3:uid="{CD675B22-7FFE-4BF5-BA74-C8350C4F712C}" name="PI"/>
    <tableColumn id="3" xr3:uid="{20E1D0C9-98C2-427B-BE7D-F4A4E7C96F24}" name="PH"/>
    <tableColumn id="4" xr3:uid="{CB890A5E-521C-4D6C-8CAF-A11E0F366C54}" name="PR"/>
    <tableColumn id="5" xr3:uid="{B92847CA-DAF3-4C2A-97B6-93F232A0CE06}" name="Base 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91BE47-0550-40BB-B1B8-603513A637EE}" name="Tabla9" displayName="Tabla9" ref="A19:E25" totalsRowShown="0">
  <autoFilter ref="A19:E25" xr:uid="{6F91BE47-0550-40BB-B1B8-603513A637EE}"/>
  <tableColumns count="5">
    <tableColumn id="1" xr3:uid="{447E2EF2-6E45-4AE0-85FB-95764DF0790E}" name="Día"/>
    <tableColumn id="2" xr3:uid="{0D462AB3-AD3A-4955-A0D8-0562DDA96D3B}" name="PI">
      <calculatedColumnFormula>D19</calculatedColumnFormula>
    </tableColumn>
    <tableColumn id="3" xr3:uid="{52FBFB50-20D4-44E9-83AE-561920812100}" name="PH"/>
    <tableColumn id="4" xr3:uid="{9A7AE6F2-D643-4B47-AB9C-9B9BCD2D3A63}" name="PR">
      <calculatedColumnFormula>B20+C20</calculatedColumnFormula>
    </tableColumn>
    <tableColumn id="5" xr3:uid="{EDDE218B-7202-4854-A952-1E0C57EA3F8B}" name="Base ">
      <calculatedColumnFormula>E19+($B$30/$B$29)</calculatedColumnFormula>
    </tableColumn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EC944-6B20-4F00-850B-6AFDF015CBB2}" name="Sprint_1" displayName="Sprint_1" ref="C2:H10" totalsRowCount="1">
  <autoFilter ref="C2:H9" xr:uid="{8BCEC944-6B20-4F00-850B-6AFDF015CBB2}"/>
  <tableColumns count="6">
    <tableColumn id="1" xr3:uid="{3C402A1C-BE59-4C16-8FEE-0E8CE78ACE2B}" name="ID" totalsRowLabel="Total"/>
    <tableColumn id="2" xr3:uid="{2C23A08A-EAA5-4B86-8AD4-1BCC93B93633}" name="Yo como"/>
    <tableColumn id="3" xr3:uid="{6D00714B-35CE-4205-B738-B74BA856111C}" name="Necesito "/>
    <tableColumn id="4" xr3:uid="{70A992CF-0959-46AC-9349-47E7C8D85D79}" name="Para"/>
    <tableColumn id="5" xr3:uid="{B8FA345A-8EBF-42CC-AA0E-BB31E4AB63E3}" name="Observacviones "/>
    <tableColumn id="6" xr3:uid="{FDCC740D-8023-4AA1-A6C2-374D82852D4D}" name="Puntos" totalsRowFunction="sum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6D0512-C01E-456B-B151-289BC1AEC61C}" name="Tabla6" displayName="Tabla6" ref="C2:G8" totalsRowShown="0">
  <autoFilter ref="C2:G8" xr:uid="{FF6D0512-C01E-456B-B151-289BC1AEC61C}"/>
  <tableColumns count="5">
    <tableColumn id="1" xr3:uid="{5C0CEB0C-1A1D-4DC0-9132-E98ED4BEEF53}" name="Día"/>
    <tableColumn id="2" xr3:uid="{EA521D8B-9A2E-4F62-8106-15F98A844461}" name="PI">
      <calculatedColumnFormula>F2</calculatedColumnFormula>
    </tableColumn>
    <tableColumn id="3" xr3:uid="{F26A893D-F56C-4F37-AB07-4DE3C9E6A8D8}" name="PR"/>
    <tableColumn id="4" xr3:uid="{14BC50AD-2F1A-4115-AD5D-498CBF5AABE2}" name="PR2">
      <calculatedColumnFormula>D3-E3</calculatedColumnFormula>
    </tableColumn>
    <tableColumn id="5" xr3:uid="{E979641C-5208-4000-B23C-752015141255}" name="Base ">
      <calculatedColumnFormula>G2-($D$3/$D$12)</calculatedColumnFormula>
    </tableColumn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7EBBA1-ACB0-49F2-B3BF-07D11DDFC082}" name="Tabla7" displayName="Tabla7" ref="C23:G29" totalsRowShown="0">
  <autoFilter ref="C23:G29" xr:uid="{B87EBBA1-ACB0-49F2-B3BF-07D11DDFC082}"/>
  <tableColumns count="5">
    <tableColumn id="1" xr3:uid="{BB16775A-3754-4D58-A760-B187D316D45F}" name="Día"/>
    <tableColumn id="2" xr3:uid="{05E0E279-D3BF-4950-81CC-E15F3FFD2B69}" name="PI">
      <calculatedColumnFormula>F23</calculatedColumnFormula>
    </tableColumn>
    <tableColumn id="3" xr3:uid="{644D75CA-06BE-4EE6-A2F0-A73E8E2BC9DF}" name="PH"/>
    <tableColumn id="4" xr3:uid="{00FDDAE1-9502-4B77-BD5B-601FB78470B9}" name="PR">
      <calculatedColumnFormula>D24+E24</calculatedColumnFormula>
    </tableColumn>
    <tableColumn id="5" xr3:uid="{CABC577F-B905-4CCA-859F-481D1A671CCE}" name="Base ">
      <calculatedColumnFormula>G23+($D$4/$D$12)</calculatedColumnFormula>
    </tableColumn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CDFD12-A954-4E2E-9BF7-CEA284F22A5B}" name="Tabla4" displayName="Tabla4" ref="C2:G8" totalsRowShown="0">
  <autoFilter ref="C2:G8" xr:uid="{96CDFD12-A954-4E2E-9BF7-CEA284F22A5B}"/>
  <tableColumns count="5">
    <tableColumn id="1" xr3:uid="{29AAB78D-56D0-4BF6-B797-4472FFC73386}" name="Día"/>
    <tableColumn id="2" xr3:uid="{DC20DAE8-11DC-4EA3-9CC2-FBE03E8311E2}" name="PI">
      <calculatedColumnFormula>F2</calculatedColumnFormula>
    </tableColumn>
    <tableColumn id="3" xr3:uid="{697623F6-8501-4BBB-8D99-CF6BAE5972F8}" name="PR"/>
    <tableColumn id="4" xr3:uid="{111D4E81-93D4-43E0-8F71-AD27CB84F535}" name="PR2">
      <calculatedColumnFormula>D3-E3</calculatedColumnFormula>
    </tableColumn>
    <tableColumn id="5" xr3:uid="{59A680EF-EE6B-4CC9-A184-561CE00619D0}" name="Base ">
      <calculatedColumnFormula>G2-($D$3/$D$12)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3F5D0C-4124-48E9-BEE6-BE1A6723E7B1}" name="Tabla5" displayName="Tabla5" ref="C22:G28" totalsRowShown="0">
  <autoFilter ref="C22:G28" xr:uid="{2C3F5D0C-4124-48E9-BEE6-BE1A6723E7B1}"/>
  <tableColumns count="5">
    <tableColumn id="1" xr3:uid="{2C391570-3CE0-4BEF-9C21-A8FA8436C0DB}" name="Día"/>
    <tableColumn id="2" xr3:uid="{C1B3EA31-7A69-4637-935C-B3CADC098FA7}" name="PI">
      <calculatedColumnFormula>F22</calculatedColumnFormula>
    </tableColumn>
    <tableColumn id="3" xr3:uid="{2D8189F3-0317-4467-9654-92A0570FF5F4}" name="PH"/>
    <tableColumn id="4" xr3:uid="{635C99D5-534E-44F0-AED5-4357A9227188}" name="PR">
      <calculatedColumnFormula>D23+E23</calculatedColumnFormula>
    </tableColumn>
    <tableColumn id="5" xr3:uid="{C46DFAFF-CA3B-4822-83A4-A1E60AFEB10A}" name="Base">
      <calculatedColumnFormula>G22+($D$33/$D$32)</calculatedColumnFormula>
    </tableColumn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98606-24E5-4D21-869B-C896C4CECB90}" name="Sprint_2" displayName="Sprint_2" ref="C2:H12" totalsRowCount="1">
  <autoFilter ref="C2:H11" xr:uid="{8BCEC944-6B20-4F00-850B-6AFDF015CBB2}"/>
  <sortState xmlns:xlrd2="http://schemas.microsoft.com/office/spreadsheetml/2017/richdata2" ref="C3:H11">
    <sortCondition descending="1" ref="F2:F11"/>
  </sortState>
  <tableColumns count="6">
    <tableColumn id="1" xr3:uid="{491D4A00-5BF4-46BB-9E06-3275C0539BEC}" name="ID" totalsRowLabel="Total"/>
    <tableColumn id="2" xr3:uid="{5C4F3CF4-EC01-4E9F-8FD7-8DF0BDF48A00}" name="Yo como"/>
    <tableColumn id="3" xr3:uid="{63F6451A-B5D6-4D3A-938B-CB9872E7DFE6}" name="Necesito "/>
    <tableColumn id="4" xr3:uid="{4B3E1FC7-1AF4-42FA-8B23-B31479FD7F0A}" name="Para"/>
    <tableColumn id="5" xr3:uid="{F1FF156C-F20B-4ABF-931F-D5F46E752D34}" name="Observacviones "/>
    <tableColumn id="6" xr3:uid="{140AF6D9-0300-48AE-A447-D418FC5B9759}" name="Puntos" totalsRowFunction="sum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022E-057B-4154-A21F-40836401510E}">
  <dimension ref="C2:H40"/>
  <sheetViews>
    <sheetView zoomScale="84" workbookViewId="0">
      <selection activeCell="E36" sqref="E36"/>
    </sheetView>
  </sheetViews>
  <sheetFormatPr defaultColWidth="11.42578125" defaultRowHeight="15"/>
  <cols>
    <col min="4" max="4" width="12.85546875" customWidth="1"/>
    <col min="5" max="5" width="68.5703125" customWidth="1"/>
    <col min="6" max="6" width="57.42578125" customWidth="1"/>
    <col min="7" max="7" width="74.7109375" customWidth="1"/>
    <col min="8" max="8" width="12.85546875" customWidth="1"/>
  </cols>
  <sheetData>
    <row r="2" spans="3:8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5</v>
      </c>
    </row>
    <row r="4" spans="3:8">
      <c r="C4" t="s">
        <v>11</v>
      </c>
      <c r="D4" t="s">
        <v>7</v>
      </c>
      <c r="E4" t="s">
        <v>12</v>
      </c>
      <c r="F4" t="s">
        <v>13</v>
      </c>
      <c r="G4" t="s">
        <v>14</v>
      </c>
      <c r="H4">
        <v>3</v>
      </c>
    </row>
    <row r="5" spans="3:8">
      <c r="C5" t="s">
        <v>15</v>
      </c>
      <c r="D5" t="s">
        <v>7</v>
      </c>
      <c r="E5" t="s">
        <v>16</v>
      </c>
      <c r="F5" t="s">
        <v>17</v>
      </c>
      <c r="G5" t="s">
        <v>18</v>
      </c>
      <c r="H5">
        <v>5</v>
      </c>
    </row>
    <row r="6" spans="3:8">
      <c r="C6" t="s">
        <v>19</v>
      </c>
      <c r="D6" t="s">
        <v>7</v>
      </c>
      <c r="E6" t="s">
        <v>20</v>
      </c>
      <c r="F6" t="s">
        <v>21</v>
      </c>
      <c r="G6" t="s">
        <v>22</v>
      </c>
      <c r="H6">
        <v>5</v>
      </c>
    </row>
    <row r="7" spans="3:8">
      <c r="C7" t="s">
        <v>23</v>
      </c>
      <c r="D7" t="s">
        <v>7</v>
      </c>
      <c r="E7" t="s">
        <v>24</v>
      </c>
      <c r="F7" t="s">
        <v>25</v>
      </c>
      <c r="G7" t="s">
        <v>26</v>
      </c>
      <c r="H7">
        <v>5</v>
      </c>
    </row>
    <row r="8" spans="3:8">
      <c r="C8" t="s">
        <v>27</v>
      </c>
      <c r="D8" t="s">
        <v>7</v>
      </c>
      <c r="E8" t="s">
        <v>28</v>
      </c>
      <c r="F8" t="s">
        <v>29</v>
      </c>
      <c r="G8" t="s">
        <v>30</v>
      </c>
      <c r="H8">
        <v>5</v>
      </c>
    </row>
    <row r="9" spans="3:8">
      <c r="C9" t="s">
        <v>31</v>
      </c>
      <c r="D9" t="s">
        <v>7</v>
      </c>
      <c r="E9" t="s">
        <v>32</v>
      </c>
      <c r="F9" t="s">
        <v>33</v>
      </c>
      <c r="G9" t="s">
        <v>34</v>
      </c>
      <c r="H9">
        <v>5</v>
      </c>
    </row>
    <row r="10" spans="3:8">
      <c r="C10" t="s">
        <v>35</v>
      </c>
      <c r="D10" t="s">
        <v>7</v>
      </c>
      <c r="E10" t="s">
        <v>36</v>
      </c>
      <c r="F10" t="s">
        <v>37</v>
      </c>
      <c r="G10" t="s">
        <v>38</v>
      </c>
      <c r="H10">
        <v>5</v>
      </c>
    </row>
    <row r="11" spans="3:8">
      <c r="C11" t="s">
        <v>39</v>
      </c>
      <c r="D11" t="s">
        <v>7</v>
      </c>
      <c r="E11" t="s">
        <v>40</v>
      </c>
      <c r="F11" t="s">
        <v>41</v>
      </c>
      <c r="G11" t="s">
        <v>42</v>
      </c>
      <c r="H11">
        <v>3</v>
      </c>
    </row>
    <row r="12" spans="3:8">
      <c r="C12" t="s">
        <v>43</v>
      </c>
      <c r="D12" t="s">
        <v>7</v>
      </c>
      <c r="E12" t="s">
        <v>44</v>
      </c>
      <c r="F12" t="s">
        <v>45</v>
      </c>
      <c r="G12" t="s">
        <v>46</v>
      </c>
      <c r="H12">
        <v>5</v>
      </c>
    </row>
    <row r="13" spans="3:8">
      <c r="C13" t="s">
        <v>47</v>
      </c>
      <c r="D13" t="s">
        <v>7</v>
      </c>
      <c r="E13" t="s">
        <v>48</v>
      </c>
      <c r="F13" t="s">
        <v>49</v>
      </c>
      <c r="G13" t="s">
        <v>50</v>
      </c>
      <c r="H13">
        <v>5</v>
      </c>
    </row>
    <row r="14" spans="3:8">
      <c r="C14" t="s">
        <v>51</v>
      </c>
      <c r="D14" t="s">
        <v>7</v>
      </c>
      <c r="E14" t="s">
        <v>52</v>
      </c>
      <c r="F14" t="s">
        <v>53</v>
      </c>
      <c r="G14" t="s">
        <v>54</v>
      </c>
      <c r="H14">
        <v>8</v>
      </c>
    </row>
    <row r="15" spans="3:8">
      <c r="C15" t="s">
        <v>55</v>
      </c>
      <c r="D15" t="s">
        <v>7</v>
      </c>
      <c r="E15" t="s">
        <v>56</v>
      </c>
      <c r="F15" t="s">
        <v>57</v>
      </c>
      <c r="G15" t="s">
        <v>58</v>
      </c>
      <c r="H15">
        <v>8</v>
      </c>
    </row>
    <row r="16" spans="3:8">
      <c r="C16" t="s">
        <v>59</v>
      </c>
      <c r="D16" t="s">
        <v>7</v>
      </c>
      <c r="E16" t="s">
        <v>60</v>
      </c>
      <c r="F16" t="s">
        <v>61</v>
      </c>
      <c r="G16" t="s">
        <v>62</v>
      </c>
      <c r="H16">
        <v>8</v>
      </c>
    </row>
    <row r="17" spans="3:8">
      <c r="C17" t="s">
        <v>63</v>
      </c>
      <c r="D17" t="s">
        <v>7</v>
      </c>
      <c r="E17" t="s">
        <v>64</v>
      </c>
      <c r="F17" t="s">
        <v>65</v>
      </c>
      <c r="G17" t="s">
        <v>66</v>
      </c>
      <c r="H17">
        <v>5</v>
      </c>
    </row>
    <row r="18" spans="3:8">
      <c r="C18" t="s">
        <v>67</v>
      </c>
      <c r="D18" t="s">
        <v>7</v>
      </c>
      <c r="E18" t="s">
        <v>68</v>
      </c>
      <c r="F18" t="s">
        <v>69</v>
      </c>
      <c r="G18" t="s">
        <v>70</v>
      </c>
      <c r="H18">
        <v>3</v>
      </c>
    </row>
    <row r="19" spans="3:8">
      <c r="C19" t="s">
        <v>71</v>
      </c>
      <c r="D19" t="s">
        <v>7</v>
      </c>
      <c r="E19" t="s">
        <v>72</v>
      </c>
      <c r="F19" t="s">
        <v>73</v>
      </c>
      <c r="G19" t="s">
        <v>74</v>
      </c>
      <c r="H19">
        <v>5</v>
      </c>
    </row>
    <row r="20" spans="3:8">
      <c r="C20" t="s">
        <v>75</v>
      </c>
      <c r="D20" t="s">
        <v>7</v>
      </c>
      <c r="E20" t="s">
        <v>76</v>
      </c>
      <c r="F20" t="s">
        <v>77</v>
      </c>
      <c r="G20" t="s">
        <v>78</v>
      </c>
      <c r="H20">
        <v>8</v>
      </c>
    </row>
    <row r="21" spans="3:8">
      <c r="C21" t="s">
        <v>79</v>
      </c>
      <c r="D21" t="s">
        <v>7</v>
      </c>
      <c r="E21" t="s">
        <v>80</v>
      </c>
      <c r="F21" t="s">
        <v>81</v>
      </c>
      <c r="G21" t="s">
        <v>82</v>
      </c>
      <c r="H21">
        <v>5</v>
      </c>
    </row>
    <row r="22" spans="3:8">
      <c r="C22" t="s">
        <v>83</v>
      </c>
      <c r="D22" t="s">
        <v>7</v>
      </c>
      <c r="E22" t="s">
        <v>84</v>
      </c>
      <c r="F22" t="s">
        <v>85</v>
      </c>
      <c r="G22" t="s">
        <v>86</v>
      </c>
      <c r="H22">
        <v>3</v>
      </c>
    </row>
    <row r="23" spans="3:8">
      <c r="C23" t="s">
        <v>87</v>
      </c>
      <c r="D23" t="s">
        <v>7</v>
      </c>
      <c r="E23" t="s">
        <v>88</v>
      </c>
      <c r="F23" t="s">
        <v>89</v>
      </c>
      <c r="G23" t="s">
        <v>90</v>
      </c>
      <c r="H23">
        <v>5</v>
      </c>
    </row>
    <row r="24" spans="3:8">
      <c r="C24" t="s">
        <v>91</v>
      </c>
      <c r="D24" t="s">
        <v>7</v>
      </c>
      <c r="E24" t="s">
        <v>92</v>
      </c>
      <c r="F24" t="s">
        <v>93</v>
      </c>
      <c r="G24" t="s">
        <v>94</v>
      </c>
      <c r="H24">
        <v>8</v>
      </c>
    </row>
    <row r="25" spans="3:8">
      <c r="C25" t="s">
        <v>95</v>
      </c>
      <c r="D25" t="s">
        <v>7</v>
      </c>
      <c r="E25" t="s">
        <v>96</v>
      </c>
      <c r="F25" t="s">
        <v>97</v>
      </c>
      <c r="G25" t="s">
        <v>98</v>
      </c>
      <c r="H25">
        <v>8</v>
      </c>
    </row>
    <row r="26" spans="3:8">
      <c r="C26" t="s">
        <v>99</v>
      </c>
      <c r="D26" t="s">
        <v>7</v>
      </c>
      <c r="E26" t="s">
        <v>100</v>
      </c>
      <c r="F26" t="s">
        <v>101</v>
      </c>
      <c r="G26" t="s">
        <v>102</v>
      </c>
      <c r="H26">
        <v>5</v>
      </c>
    </row>
    <row r="27" spans="3:8">
      <c r="C27" t="s">
        <v>103</v>
      </c>
      <c r="D27" t="s">
        <v>7</v>
      </c>
      <c r="E27" t="s">
        <v>104</v>
      </c>
      <c r="F27" t="s">
        <v>105</v>
      </c>
      <c r="G27" t="s">
        <v>106</v>
      </c>
      <c r="H27">
        <v>5</v>
      </c>
    </row>
    <row r="28" spans="3:8">
      <c r="C28" t="s">
        <v>107</v>
      </c>
      <c r="D28" t="s">
        <v>7</v>
      </c>
      <c r="E28" t="s">
        <v>108</v>
      </c>
      <c r="F28" t="s">
        <v>109</v>
      </c>
      <c r="G28" t="s">
        <v>110</v>
      </c>
      <c r="H28">
        <v>8</v>
      </c>
    </row>
    <row r="29" spans="3:8">
      <c r="C29" t="s">
        <v>111</v>
      </c>
      <c r="D29" t="s">
        <v>7</v>
      </c>
      <c r="E29" t="s">
        <v>112</v>
      </c>
      <c r="F29" t="s">
        <v>113</v>
      </c>
      <c r="G29" t="s">
        <v>114</v>
      </c>
      <c r="H29">
        <v>8</v>
      </c>
    </row>
    <row r="30" spans="3:8">
      <c r="C30" t="s">
        <v>115</v>
      </c>
      <c r="D30" t="s">
        <v>7</v>
      </c>
      <c r="E30" t="s">
        <v>116</v>
      </c>
      <c r="F30" t="s">
        <v>117</v>
      </c>
      <c r="G30" t="s">
        <v>118</v>
      </c>
      <c r="H30">
        <v>5</v>
      </c>
    </row>
    <row r="31" spans="3:8">
      <c r="C31" t="s">
        <v>119</v>
      </c>
      <c r="D31" t="s">
        <v>7</v>
      </c>
      <c r="E31" t="s">
        <v>120</v>
      </c>
      <c r="F31" t="s">
        <v>121</v>
      </c>
      <c r="G31" t="s">
        <v>122</v>
      </c>
      <c r="H31">
        <v>5</v>
      </c>
    </row>
    <row r="32" spans="3:8">
      <c r="C32" t="s">
        <v>123</v>
      </c>
      <c r="H32">
        <f>SUBTOTAL(109,Sprint_14[Puntos])</f>
        <v>161</v>
      </c>
    </row>
    <row r="38" spans="4:6">
      <c r="D38" s="1"/>
      <c r="E38" s="1"/>
      <c r="F38" s="1"/>
    </row>
    <row r="40" spans="4:6">
      <c r="D40" s="1"/>
      <c r="E40" s="1"/>
      <c r="F40" s="1"/>
    </row>
  </sheetData>
  <dataValidations count="1">
    <dataValidation type="list" allowBlank="1" showInputMessage="1" showErrorMessage="1" sqref="H3:H31" xr:uid="{E46E0876-486D-4E57-925C-BD3ED3BE0CEF}">
      <formula1>Puntos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4F62-698A-45DB-9091-82DDA1578FD8}">
  <dimension ref="A1:E30"/>
  <sheetViews>
    <sheetView tabSelected="1" topLeftCell="A18" zoomScale="130" zoomScaleNormal="130" workbookViewId="0">
      <selection activeCell="O26" sqref="O26"/>
    </sheetView>
  </sheetViews>
  <sheetFormatPr defaultColWidth="11.42578125" defaultRowHeight="15"/>
  <sheetData>
    <row r="1" spans="1:5">
      <c r="A1" t="s">
        <v>124</v>
      </c>
      <c r="B1" t="s">
        <v>125</v>
      </c>
      <c r="C1" t="s">
        <v>126</v>
      </c>
      <c r="D1" t="s">
        <v>127</v>
      </c>
      <c r="E1" t="s">
        <v>128</v>
      </c>
    </row>
    <row r="2" spans="1:5">
      <c r="A2" t="s">
        <v>129</v>
      </c>
      <c r="B2">
        <f>SUM(Sprint_14[Puntos])</f>
        <v>161</v>
      </c>
      <c r="C2">
        <v>0</v>
      </c>
      <c r="D2">
        <f>B2-C2</f>
        <v>161</v>
      </c>
      <c r="E2">
        <f>B2</f>
        <v>161</v>
      </c>
    </row>
    <row r="3" spans="1:5">
      <c r="A3" t="s">
        <v>130</v>
      </c>
      <c r="B3">
        <f>D2</f>
        <v>161</v>
      </c>
      <c r="C3">
        <f>Graficas_Sprint_1!D3</f>
        <v>35</v>
      </c>
      <c r="D3">
        <f>B3-C3</f>
        <v>126</v>
      </c>
      <c r="E3">
        <f>E2-($B$3/$B$11)</f>
        <v>128.80000000000001</v>
      </c>
    </row>
    <row r="4" spans="1:5">
      <c r="A4" t="s">
        <v>131</v>
      </c>
      <c r="B4">
        <f>D3</f>
        <v>126</v>
      </c>
      <c r="C4">
        <f>Graficas_Sprint_2!D3</f>
        <v>37</v>
      </c>
      <c r="D4">
        <f t="shared" ref="D4:D8" si="0">B4-C4</f>
        <v>89</v>
      </c>
      <c r="E4">
        <f t="shared" ref="E4:E7" si="1">E3-($B$3/$B$11)</f>
        <v>96.600000000000009</v>
      </c>
    </row>
    <row r="5" spans="1:5">
      <c r="A5" t="s">
        <v>132</v>
      </c>
      <c r="B5">
        <f t="shared" ref="B5:B7" si="2">D4</f>
        <v>89</v>
      </c>
      <c r="D5">
        <v>0</v>
      </c>
      <c r="E5">
        <f t="shared" si="1"/>
        <v>64.400000000000006</v>
      </c>
    </row>
    <row r="6" spans="1:5">
      <c r="A6" t="s">
        <v>133</v>
      </c>
      <c r="B6">
        <f t="shared" si="2"/>
        <v>0</v>
      </c>
      <c r="D6">
        <v>0</v>
      </c>
      <c r="E6">
        <f t="shared" si="1"/>
        <v>32.200000000000003</v>
      </c>
    </row>
    <row r="7" spans="1:5">
      <c r="A7" t="s">
        <v>134</v>
      </c>
      <c r="B7">
        <f t="shared" si="2"/>
        <v>0</v>
      </c>
      <c r="D7">
        <f t="shared" si="0"/>
        <v>0</v>
      </c>
      <c r="E7">
        <f t="shared" si="1"/>
        <v>0</v>
      </c>
    </row>
    <row r="8" spans="1:5">
      <c r="A8" t="s">
        <v>135</v>
      </c>
      <c r="D8">
        <f t="shared" si="0"/>
        <v>0</v>
      </c>
    </row>
    <row r="11" spans="1:5">
      <c r="A11" s="6" t="s">
        <v>136</v>
      </c>
      <c r="B11" s="5">
        <v>5</v>
      </c>
    </row>
    <row r="14" spans="1:5">
      <c r="A14" t="s">
        <v>137</v>
      </c>
      <c r="B14">
        <v>4</v>
      </c>
    </row>
    <row r="19" spans="1:5">
      <c r="A19" t="s">
        <v>124</v>
      </c>
      <c r="B19" t="s">
        <v>125</v>
      </c>
      <c r="C19" t="s">
        <v>126</v>
      </c>
      <c r="D19" t="s">
        <v>127</v>
      </c>
      <c r="E19" t="s">
        <v>128</v>
      </c>
    </row>
    <row r="20" spans="1:5">
      <c r="A20" t="s">
        <v>129</v>
      </c>
      <c r="B20">
        <v>0</v>
      </c>
      <c r="C20">
        <v>0</v>
      </c>
      <c r="D20">
        <f>B20-C20</f>
        <v>0</v>
      </c>
      <c r="E20">
        <f>B20</f>
        <v>0</v>
      </c>
    </row>
    <row r="21" spans="1:5">
      <c r="A21" t="s">
        <v>130</v>
      </c>
      <c r="B21">
        <f>D20</f>
        <v>0</v>
      </c>
      <c r="C21">
        <f>Graficas_Sprint_1!D3</f>
        <v>35</v>
      </c>
      <c r="D21">
        <f>B21+C21</f>
        <v>35</v>
      </c>
      <c r="E21">
        <f>E20+($B$30/$B$29)</f>
        <v>32.200000000000003</v>
      </c>
    </row>
    <row r="22" spans="1:5">
      <c r="A22" t="s">
        <v>131</v>
      </c>
      <c r="B22">
        <f>D21</f>
        <v>35</v>
      </c>
      <c r="C22">
        <f>Graficas_Sprint_2!D3</f>
        <v>37</v>
      </c>
      <c r="D22">
        <f t="shared" ref="D22:D25" si="3">B22+C22</f>
        <v>72</v>
      </c>
      <c r="E22">
        <f>E21+($B$30/$B$29)</f>
        <v>64.400000000000006</v>
      </c>
    </row>
    <row r="23" spans="1:5">
      <c r="A23" t="s">
        <v>132</v>
      </c>
      <c r="B23">
        <v>0</v>
      </c>
      <c r="C23">
        <v>0</v>
      </c>
      <c r="D23">
        <v>0</v>
      </c>
      <c r="E23">
        <f>E22+($B$30/$B$29)</f>
        <v>96.600000000000009</v>
      </c>
    </row>
    <row r="24" spans="1:5">
      <c r="A24" t="s">
        <v>133</v>
      </c>
      <c r="B24">
        <f t="shared" ref="B23:B25" si="4">D23</f>
        <v>0</v>
      </c>
      <c r="C24">
        <v>0</v>
      </c>
      <c r="D24">
        <f t="shared" si="3"/>
        <v>0</v>
      </c>
      <c r="E24">
        <f>E23+($B$30/$B$29)</f>
        <v>128.80000000000001</v>
      </c>
    </row>
    <row r="25" spans="1:5">
      <c r="A25" t="s">
        <v>134</v>
      </c>
      <c r="B25">
        <f t="shared" si="4"/>
        <v>0</v>
      </c>
      <c r="C25">
        <v>0</v>
      </c>
      <c r="D25">
        <f t="shared" si="3"/>
        <v>0</v>
      </c>
      <c r="E25">
        <f>E24+($B$30/$B$29)</f>
        <v>161</v>
      </c>
    </row>
    <row r="29" spans="1:5">
      <c r="B29">
        <v>5</v>
      </c>
    </row>
    <row r="30" spans="1:5">
      <c r="B30">
        <v>161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3D54-C81D-43F6-BC15-807307948216}">
  <dimension ref="C2:H10"/>
  <sheetViews>
    <sheetView zoomScale="75" workbookViewId="0">
      <selection activeCell="E15" sqref="E15"/>
    </sheetView>
  </sheetViews>
  <sheetFormatPr defaultColWidth="11.42578125" defaultRowHeight="15"/>
  <cols>
    <col min="4" max="4" width="9.85546875" customWidth="1"/>
    <col min="5" max="5" width="61" customWidth="1"/>
    <col min="6" max="6" width="54.5703125" customWidth="1"/>
    <col min="7" max="7" width="69.5703125" customWidth="1"/>
    <col min="8" max="8" width="10.42578125" customWidth="1"/>
  </cols>
  <sheetData>
    <row r="2" spans="3:8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5</v>
      </c>
    </row>
    <row r="4" spans="3:8">
      <c r="C4" t="s">
        <v>15</v>
      </c>
      <c r="D4" t="s">
        <v>7</v>
      </c>
      <c r="E4" t="s">
        <v>16</v>
      </c>
      <c r="F4" t="s">
        <v>17</v>
      </c>
      <c r="G4" t="s">
        <v>18</v>
      </c>
      <c r="H4">
        <v>5</v>
      </c>
    </row>
    <row r="5" spans="3:8">
      <c r="C5" t="s">
        <v>23</v>
      </c>
      <c r="D5" t="s">
        <v>7</v>
      </c>
      <c r="E5" t="s">
        <v>24</v>
      </c>
      <c r="F5" t="s">
        <v>25</v>
      </c>
      <c r="G5" t="s">
        <v>26</v>
      </c>
      <c r="H5">
        <v>5</v>
      </c>
    </row>
    <row r="6" spans="3:8">
      <c r="C6" t="s">
        <v>27</v>
      </c>
      <c r="D6" t="s">
        <v>7</v>
      </c>
      <c r="E6" t="s">
        <v>28</v>
      </c>
      <c r="F6" t="s">
        <v>29</v>
      </c>
      <c r="G6" t="s">
        <v>30</v>
      </c>
      <c r="H6">
        <v>5</v>
      </c>
    </row>
    <row r="7" spans="3:8">
      <c r="C7" t="s">
        <v>31</v>
      </c>
      <c r="D7" t="s">
        <v>7</v>
      </c>
      <c r="E7" t="s">
        <v>32</v>
      </c>
      <c r="F7" t="s">
        <v>33</v>
      </c>
      <c r="G7" t="s">
        <v>34</v>
      </c>
      <c r="H7">
        <v>5</v>
      </c>
    </row>
    <row r="8" spans="3:8">
      <c r="C8" t="s">
        <v>138</v>
      </c>
      <c r="D8" t="s">
        <v>7</v>
      </c>
      <c r="E8" t="s">
        <v>48</v>
      </c>
      <c r="F8" t="s">
        <v>49</v>
      </c>
      <c r="G8" t="s">
        <v>50</v>
      </c>
      <c r="H8">
        <v>5</v>
      </c>
    </row>
    <row r="9" spans="3:8">
      <c r="C9" t="s">
        <v>139</v>
      </c>
      <c r="D9" t="s">
        <v>7</v>
      </c>
      <c r="E9" t="s">
        <v>120</v>
      </c>
      <c r="F9" t="s">
        <v>121</v>
      </c>
      <c r="G9" t="s">
        <v>122</v>
      </c>
      <c r="H9">
        <v>5</v>
      </c>
    </row>
    <row r="10" spans="3:8">
      <c r="C10" t="s">
        <v>123</v>
      </c>
      <c r="H10">
        <f>SUBTOTAL(109,Sprint_1[Puntos])</f>
        <v>35</v>
      </c>
    </row>
  </sheetData>
  <phoneticPr fontId="1" type="noConversion"/>
  <dataValidations count="1">
    <dataValidation type="list" allowBlank="1" showInputMessage="1" showErrorMessage="1" sqref="H3:H9" xr:uid="{BF55A40B-E779-4C50-99E1-F47ACA2DCB9A}">
      <formula1>Puntos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0C77-1F69-4244-B2F1-0C837BEF4B63}">
  <dimension ref="C2:G33"/>
  <sheetViews>
    <sheetView topLeftCell="A17" zoomScaleNormal="106" workbookViewId="0">
      <selection activeCell="O10" sqref="O10"/>
    </sheetView>
  </sheetViews>
  <sheetFormatPr defaultColWidth="11.42578125" defaultRowHeight="15"/>
  <sheetData>
    <row r="2" spans="3:7">
      <c r="C2" t="s">
        <v>124</v>
      </c>
      <c r="D2" t="s">
        <v>125</v>
      </c>
      <c r="E2" t="s">
        <v>127</v>
      </c>
      <c r="F2" t="s">
        <v>140</v>
      </c>
      <c r="G2" t="s">
        <v>128</v>
      </c>
    </row>
    <row r="3" spans="3:7">
      <c r="C3" t="s">
        <v>129</v>
      </c>
      <c r="D3">
        <f>SUM(Sprint_1[Puntos])</f>
        <v>35</v>
      </c>
      <c r="E3">
        <v>0</v>
      </c>
      <c r="F3">
        <f>D3-E3</f>
        <v>35</v>
      </c>
      <c r="G3">
        <f>D3</f>
        <v>35</v>
      </c>
    </row>
    <row r="4" spans="3:7">
      <c r="C4" t="s">
        <v>141</v>
      </c>
      <c r="D4">
        <f>SUM(Sprint_1[Puntos])</f>
        <v>35</v>
      </c>
      <c r="E4">
        <v>7</v>
      </c>
      <c r="F4">
        <f t="shared" ref="F4:F8" si="0">D4-E4</f>
        <v>28</v>
      </c>
      <c r="G4">
        <f>G3-($D$3/$D$12)</f>
        <v>28</v>
      </c>
    </row>
    <row r="5" spans="3:7">
      <c r="C5" t="s">
        <v>142</v>
      </c>
      <c r="D5">
        <f>F4</f>
        <v>28</v>
      </c>
      <c r="E5">
        <v>5</v>
      </c>
      <c r="F5">
        <f t="shared" si="0"/>
        <v>23</v>
      </c>
      <c r="G5">
        <f t="shared" ref="G5:G8" si="1">G4-($D$3/$D$12)</f>
        <v>21</v>
      </c>
    </row>
    <row r="6" spans="3:7">
      <c r="C6" t="s">
        <v>143</v>
      </c>
      <c r="D6">
        <f t="shared" ref="D6:D8" si="2">F5</f>
        <v>23</v>
      </c>
      <c r="E6">
        <v>5</v>
      </c>
      <c r="F6">
        <f t="shared" si="0"/>
        <v>18</v>
      </c>
      <c r="G6">
        <f t="shared" si="1"/>
        <v>14</v>
      </c>
    </row>
    <row r="7" spans="3:7">
      <c r="C7" t="s">
        <v>144</v>
      </c>
      <c r="D7">
        <f t="shared" si="2"/>
        <v>18</v>
      </c>
      <c r="E7">
        <v>10</v>
      </c>
      <c r="F7">
        <f t="shared" si="0"/>
        <v>8</v>
      </c>
      <c r="G7">
        <f t="shared" si="1"/>
        <v>7</v>
      </c>
    </row>
    <row r="8" spans="3:7">
      <c r="C8" t="s">
        <v>145</v>
      </c>
      <c r="D8">
        <f t="shared" si="2"/>
        <v>8</v>
      </c>
      <c r="E8">
        <v>8</v>
      </c>
      <c r="F8">
        <f t="shared" si="0"/>
        <v>0</v>
      </c>
      <c r="G8">
        <f t="shared" si="1"/>
        <v>0</v>
      </c>
    </row>
    <row r="12" spans="3:7">
      <c r="C12" s="3" t="s">
        <v>136</v>
      </c>
      <c r="D12" s="4">
        <v>5</v>
      </c>
    </row>
    <row r="23" spans="3:7">
      <c r="C23" t="s">
        <v>124</v>
      </c>
      <c r="D23" t="s">
        <v>125</v>
      </c>
      <c r="E23" t="s">
        <v>126</v>
      </c>
      <c r="F23" t="s">
        <v>127</v>
      </c>
      <c r="G23" t="s">
        <v>128</v>
      </c>
    </row>
    <row r="24" spans="3:7">
      <c r="C24" t="s">
        <v>129</v>
      </c>
      <c r="D24">
        <v>0</v>
      </c>
      <c r="E24">
        <v>0</v>
      </c>
      <c r="F24">
        <f>D24+E24</f>
        <v>0</v>
      </c>
      <c r="G24">
        <v>0</v>
      </c>
    </row>
    <row r="25" spans="3:7">
      <c r="C25" t="s">
        <v>141</v>
      </c>
      <c r="D25">
        <f>F24</f>
        <v>0</v>
      </c>
      <c r="E25">
        <v>7</v>
      </c>
      <c r="F25">
        <f>D25+E25</f>
        <v>7</v>
      </c>
      <c r="G25">
        <f>G24+($D$4/$D$12)</f>
        <v>7</v>
      </c>
    </row>
    <row r="26" spans="3:7">
      <c r="C26" t="s">
        <v>142</v>
      </c>
      <c r="D26">
        <f t="shared" ref="D26:D29" si="3">F25</f>
        <v>7</v>
      </c>
      <c r="E26">
        <v>5</v>
      </c>
      <c r="F26">
        <f t="shared" ref="F26:F28" si="4">D26+E26</f>
        <v>12</v>
      </c>
      <c r="G26">
        <f t="shared" ref="G26:G29" si="5">G25+($D$4/$D$12)</f>
        <v>14</v>
      </c>
    </row>
    <row r="27" spans="3:7">
      <c r="C27" t="s">
        <v>143</v>
      </c>
      <c r="D27">
        <f t="shared" si="3"/>
        <v>12</v>
      </c>
      <c r="E27">
        <v>5</v>
      </c>
      <c r="F27">
        <f t="shared" si="4"/>
        <v>17</v>
      </c>
      <c r="G27">
        <f t="shared" si="5"/>
        <v>21</v>
      </c>
    </row>
    <row r="28" spans="3:7">
      <c r="C28" t="s">
        <v>144</v>
      </c>
      <c r="D28">
        <f t="shared" si="3"/>
        <v>17</v>
      </c>
      <c r="E28">
        <v>10</v>
      </c>
      <c r="F28">
        <f t="shared" si="4"/>
        <v>27</v>
      </c>
      <c r="G28">
        <f t="shared" si="5"/>
        <v>28</v>
      </c>
    </row>
    <row r="29" spans="3:7">
      <c r="C29" t="s">
        <v>145</v>
      </c>
      <c r="D29">
        <f t="shared" si="3"/>
        <v>27</v>
      </c>
      <c r="E29">
        <v>8</v>
      </c>
      <c r="F29">
        <f>D29+E29</f>
        <v>35</v>
      </c>
      <c r="G29">
        <f t="shared" si="5"/>
        <v>35</v>
      </c>
    </row>
    <row r="33" spans="3:4">
      <c r="C33" s="5" t="s">
        <v>136</v>
      </c>
      <c r="D33" s="6">
        <v>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A8CA-A52E-4C52-A9DC-2DA7328CCE57}">
  <dimension ref="C2:G33"/>
  <sheetViews>
    <sheetView topLeftCell="B17" zoomScale="97" workbookViewId="0">
      <selection activeCell="C29" sqref="C29"/>
    </sheetView>
  </sheetViews>
  <sheetFormatPr defaultColWidth="11.42578125" defaultRowHeight="15"/>
  <cols>
    <col min="4" max="6" width="11.5703125" bestFit="1" customWidth="1"/>
    <col min="7" max="7" width="11.7109375" bestFit="1" customWidth="1"/>
  </cols>
  <sheetData>
    <row r="2" spans="3:7">
      <c r="C2" t="s">
        <v>124</v>
      </c>
      <c r="D2" t="s">
        <v>125</v>
      </c>
      <c r="E2" t="s">
        <v>127</v>
      </c>
      <c r="F2" t="s">
        <v>140</v>
      </c>
      <c r="G2" t="s">
        <v>128</v>
      </c>
    </row>
    <row r="3" spans="3:7">
      <c r="C3" t="s">
        <v>129</v>
      </c>
      <c r="D3">
        <f>SUM(Sprint_2[Puntos])</f>
        <v>37</v>
      </c>
      <c r="E3">
        <v>0</v>
      </c>
      <c r="F3">
        <f>D3-E3</f>
        <v>37</v>
      </c>
      <c r="G3">
        <f>D3</f>
        <v>37</v>
      </c>
    </row>
    <row r="4" spans="3:7">
      <c r="C4" t="s">
        <v>141</v>
      </c>
      <c r="D4">
        <f>F3</f>
        <v>37</v>
      </c>
      <c r="E4">
        <v>4</v>
      </c>
      <c r="F4">
        <f>D4-E4</f>
        <v>33</v>
      </c>
      <c r="G4">
        <f>G3-($D$3/$D$12)</f>
        <v>29.6</v>
      </c>
    </row>
    <row r="5" spans="3:7">
      <c r="C5" t="s">
        <v>142</v>
      </c>
      <c r="D5">
        <f>F4</f>
        <v>33</v>
      </c>
      <c r="E5">
        <v>10</v>
      </c>
      <c r="F5">
        <f t="shared" ref="F5:F8" si="0">D5-E5</f>
        <v>23</v>
      </c>
      <c r="G5">
        <f t="shared" ref="G5:G8" si="1">G4-($D$3/$D$12)</f>
        <v>22.200000000000003</v>
      </c>
    </row>
    <row r="6" spans="3:7">
      <c r="C6" t="s">
        <v>143</v>
      </c>
      <c r="D6">
        <f t="shared" ref="D6:D8" si="2">F5</f>
        <v>23</v>
      </c>
      <c r="E6">
        <v>6</v>
      </c>
      <c r="F6">
        <f t="shared" si="0"/>
        <v>17</v>
      </c>
      <c r="G6">
        <f t="shared" si="1"/>
        <v>14.800000000000002</v>
      </c>
    </row>
    <row r="7" spans="3:7">
      <c r="C7" t="s">
        <v>144</v>
      </c>
      <c r="D7">
        <f t="shared" si="2"/>
        <v>17</v>
      </c>
      <c r="E7">
        <v>7</v>
      </c>
      <c r="F7">
        <f t="shared" si="0"/>
        <v>10</v>
      </c>
      <c r="G7">
        <f t="shared" si="1"/>
        <v>7.4000000000000021</v>
      </c>
    </row>
    <row r="8" spans="3:7">
      <c r="C8" t="s">
        <v>145</v>
      </c>
      <c r="D8">
        <f t="shared" si="2"/>
        <v>10</v>
      </c>
      <c r="E8">
        <v>8</v>
      </c>
      <c r="F8">
        <f t="shared" si="0"/>
        <v>2</v>
      </c>
      <c r="G8">
        <f t="shared" si="1"/>
        <v>0</v>
      </c>
    </row>
    <row r="12" spans="3:7">
      <c r="C12" t="s">
        <v>136</v>
      </c>
      <c r="D12">
        <v>5</v>
      </c>
    </row>
    <row r="22" spans="3:7">
      <c r="C22" t="s">
        <v>124</v>
      </c>
      <c r="D22" t="s">
        <v>125</v>
      </c>
      <c r="E22" t="s">
        <v>126</v>
      </c>
      <c r="F22" t="s">
        <v>127</v>
      </c>
      <c r="G22" t="s">
        <v>146</v>
      </c>
    </row>
    <row r="23" spans="3:7">
      <c r="C23" t="s">
        <v>129</v>
      </c>
      <c r="D23">
        <v>0</v>
      </c>
      <c r="E23">
        <v>0</v>
      </c>
      <c r="F23">
        <f>D23+E23</f>
        <v>0</v>
      </c>
      <c r="G23">
        <v>0</v>
      </c>
    </row>
    <row r="24" spans="3:7">
      <c r="C24" t="s">
        <v>141</v>
      </c>
      <c r="D24">
        <f>F23</f>
        <v>0</v>
      </c>
      <c r="E24">
        <v>4</v>
      </c>
      <c r="F24">
        <f>D24+E24</f>
        <v>4</v>
      </c>
      <c r="G24">
        <f>G23+($D$4/$D$32)</f>
        <v>7.4</v>
      </c>
    </row>
    <row r="25" spans="3:7">
      <c r="C25" t="s">
        <v>142</v>
      </c>
      <c r="D25">
        <f>F24</f>
        <v>4</v>
      </c>
      <c r="E25">
        <v>10</v>
      </c>
      <c r="F25">
        <f t="shared" ref="F24:F28" si="3">D25+E25</f>
        <v>14</v>
      </c>
      <c r="G25">
        <f t="shared" ref="G25:G28" si="4">G24+($D$33/$D$32)</f>
        <v>14.8</v>
      </c>
    </row>
    <row r="26" spans="3:7">
      <c r="C26" t="s">
        <v>143</v>
      </c>
      <c r="D26">
        <f>F25</f>
        <v>14</v>
      </c>
      <c r="E26">
        <v>6</v>
      </c>
      <c r="F26">
        <f t="shared" si="3"/>
        <v>20</v>
      </c>
      <c r="G26">
        <f t="shared" si="4"/>
        <v>22.200000000000003</v>
      </c>
    </row>
    <row r="27" spans="3:7">
      <c r="C27" t="s">
        <v>144</v>
      </c>
      <c r="D27">
        <f>F26</f>
        <v>20</v>
      </c>
      <c r="E27">
        <v>7</v>
      </c>
      <c r="F27">
        <f t="shared" si="3"/>
        <v>27</v>
      </c>
      <c r="G27">
        <f t="shared" si="4"/>
        <v>29.6</v>
      </c>
    </row>
    <row r="28" spans="3:7">
      <c r="C28" t="s">
        <v>145</v>
      </c>
      <c r="D28">
        <f>F27</f>
        <v>27</v>
      </c>
      <c r="E28">
        <v>8</v>
      </c>
      <c r="F28">
        <f>D28+E28</f>
        <v>35</v>
      </c>
      <c r="G28">
        <f t="shared" si="4"/>
        <v>37</v>
      </c>
    </row>
    <row r="32" spans="3:7">
      <c r="C32" t="s">
        <v>136</v>
      </c>
      <c r="D32" s="3">
        <v>5</v>
      </c>
    </row>
    <row r="33" spans="4:4">
      <c r="D33" s="2">
        <v>37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CE93-8628-41D0-B486-8363A254B5F3}">
  <dimension ref="C2:H12"/>
  <sheetViews>
    <sheetView workbookViewId="0">
      <selection activeCell="F15" sqref="F15"/>
    </sheetView>
  </sheetViews>
  <sheetFormatPr defaultColWidth="11.42578125" defaultRowHeight="15"/>
  <cols>
    <col min="4" max="4" width="10" customWidth="1"/>
    <col min="5" max="5" width="54.140625" customWidth="1"/>
    <col min="6" max="6" width="56.7109375" customWidth="1"/>
    <col min="7" max="7" width="42.5703125" customWidth="1"/>
    <col min="8" max="8" width="9.140625" customWidth="1"/>
  </cols>
  <sheetData>
    <row r="2" spans="3:8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3" spans="3:8">
      <c r="C3" t="s">
        <v>19</v>
      </c>
      <c r="D3" t="s">
        <v>7</v>
      </c>
      <c r="E3" t="s">
        <v>20</v>
      </c>
      <c r="F3" t="s">
        <v>21</v>
      </c>
      <c r="G3" t="s">
        <v>22</v>
      </c>
      <c r="H3">
        <v>5</v>
      </c>
    </row>
    <row r="4" spans="3:8">
      <c r="C4" t="s">
        <v>43</v>
      </c>
      <c r="D4" t="s">
        <v>7</v>
      </c>
      <c r="E4" t="s">
        <v>44</v>
      </c>
      <c r="F4" t="s">
        <v>45</v>
      </c>
      <c r="G4" t="s">
        <v>46</v>
      </c>
      <c r="H4">
        <v>5</v>
      </c>
    </row>
    <row r="5" spans="3:8">
      <c r="C5" t="s">
        <v>67</v>
      </c>
      <c r="D5" t="s">
        <v>7</v>
      </c>
      <c r="E5" t="s">
        <v>68</v>
      </c>
      <c r="F5" t="s">
        <v>69</v>
      </c>
      <c r="G5" t="s">
        <v>70</v>
      </c>
      <c r="H5">
        <v>3</v>
      </c>
    </row>
    <row r="6" spans="3:8">
      <c r="C6" t="s">
        <v>79</v>
      </c>
      <c r="D6" t="s">
        <v>7</v>
      </c>
      <c r="E6" t="s">
        <v>80</v>
      </c>
      <c r="F6" t="s">
        <v>81</v>
      </c>
      <c r="G6" t="s">
        <v>82</v>
      </c>
      <c r="H6">
        <v>5</v>
      </c>
    </row>
    <row r="7" spans="3:8">
      <c r="C7" t="s">
        <v>115</v>
      </c>
      <c r="D7" t="s">
        <v>7</v>
      </c>
      <c r="E7" t="s">
        <v>116</v>
      </c>
      <c r="F7" t="s">
        <v>117</v>
      </c>
      <c r="G7" t="s">
        <v>118</v>
      </c>
      <c r="H7">
        <v>5</v>
      </c>
    </row>
    <row r="8" spans="3:8">
      <c r="C8" t="s">
        <v>11</v>
      </c>
      <c r="D8" t="s">
        <v>7</v>
      </c>
      <c r="E8" t="s">
        <v>12</v>
      </c>
      <c r="F8" t="s">
        <v>13</v>
      </c>
      <c r="G8" t="s">
        <v>14</v>
      </c>
      <c r="H8">
        <v>3</v>
      </c>
    </row>
    <row r="9" spans="3:8">
      <c r="C9" t="s">
        <v>39</v>
      </c>
      <c r="D9" t="s">
        <v>7</v>
      </c>
      <c r="E9" t="s">
        <v>40</v>
      </c>
      <c r="F9" t="s">
        <v>41</v>
      </c>
      <c r="G9" t="s">
        <v>42</v>
      </c>
      <c r="H9">
        <v>3</v>
      </c>
    </row>
    <row r="10" spans="3:8">
      <c r="C10" t="s">
        <v>87</v>
      </c>
      <c r="D10" t="s">
        <v>7</v>
      </c>
      <c r="E10" t="s">
        <v>88</v>
      </c>
      <c r="F10" t="s">
        <v>89</v>
      </c>
      <c r="G10" t="s">
        <v>90</v>
      </c>
      <c r="H10">
        <v>5</v>
      </c>
    </row>
    <row r="11" spans="3:8">
      <c r="C11" t="s">
        <v>83</v>
      </c>
      <c r="D11" t="s">
        <v>7</v>
      </c>
      <c r="E11" t="s">
        <v>84</v>
      </c>
      <c r="F11" t="s">
        <v>85</v>
      </c>
      <c r="G11" t="s">
        <v>86</v>
      </c>
      <c r="H11">
        <v>3</v>
      </c>
    </row>
    <row r="12" spans="3:8">
      <c r="C12" t="s">
        <v>123</v>
      </c>
      <c r="H12">
        <f>SUBTOTAL(109,Sprint_2[Puntos])</f>
        <v>37</v>
      </c>
    </row>
  </sheetData>
  <dataValidations count="1">
    <dataValidation type="list" allowBlank="1" showInputMessage="1" showErrorMessage="1" sqref="H3:H11" xr:uid="{1D88E9D0-19CB-4326-8FE7-AD57EDE42DB6}">
      <formula1>Puntos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0E8A-74DA-40FB-8A66-6E37FBAF21E5}">
  <dimension ref="B1:B4"/>
  <sheetViews>
    <sheetView workbookViewId="0">
      <selection activeCell="F9" sqref="F9"/>
    </sheetView>
  </sheetViews>
  <sheetFormatPr defaultColWidth="11.42578125" defaultRowHeight="15"/>
  <sheetData>
    <row r="1" spans="2:2">
      <c r="B1" t="s">
        <v>147</v>
      </c>
    </row>
    <row r="2" spans="2:2">
      <c r="B2" s="2">
        <v>5</v>
      </c>
    </row>
    <row r="3" spans="2:2">
      <c r="B3" s="5">
        <v>3</v>
      </c>
    </row>
    <row r="4" spans="2:2">
      <c r="B4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gasca gasca gonzalez</dc:creator>
  <cp:keywords/>
  <dc:description/>
  <cp:lastModifiedBy/>
  <cp:revision/>
  <dcterms:created xsi:type="dcterms:W3CDTF">2026-07-15T13:54:05Z</dcterms:created>
  <dcterms:modified xsi:type="dcterms:W3CDTF">2026-07-17T08:17:22Z</dcterms:modified>
  <cp:category/>
  <cp:contentStatus/>
</cp:coreProperties>
</file>